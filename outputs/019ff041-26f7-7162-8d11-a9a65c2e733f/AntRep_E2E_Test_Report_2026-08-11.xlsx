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0774b17e9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dbb0ecb3a524baf"/>
    <x:sheet xmlns:r="http://schemas.openxmlformats.org/officeDocument/2006/relationships" name="Test Cases" sheetId="2" r:id="R38fbaef02b1d4ec1"/>
    <x:sheet xmlns:r="http://schemas.openxmlformats.org/officeDocument/2006/relationships" name="Data Audit" sheetId="3" r:id="Rcbd7fc9021d0465c"/>
    <x:sheet xmlns:r="http://schemas.openxmlformats.org/officeDocument/2006/relationships" name="Defects" sheetId="4" r:id="R3f2674b5f2914e77"/>
    <x:sheet xmlns:r="http://schemas.openxmlformats.org/officeDocument/2006/relationships" name="Performance" sheetId="5" r:id="Re28881ddfeb74c4e"/>
    <x:sheet xmlns:r="http://schemas.openxmlformats.org/officeDocument/2006/relationships" name="Plan Coverage" sheetId="6" r:id="R42a61fa4314d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15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183153"/>
      <x:name val="Carlito"/>
    </x:font>
    <x:font>
      <x:b/>
      <x:sz val="11"/>
      <x:color rgb="FF183153"/>
      <x:name val="Carlito"/>
    </x:font>
    <x:font>
      <x:b/>
      <x:sz val="13"/>
      <x:color rgb="FFFFFFFF"/>
      <x:name val="Carlito"/>
    </x:font>
    <x:font>
      <x:sz val="11"/>
      <x:color rgb="FF183153"/>
      <x:name val="Carlito"/>
    </x:font>
    <x:font>
      <x:b/>
      <x:sz val="11"/>
      <x:color rgb="FFD98E0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F"/>
      </x:patternFill>
    </x:fill>
    <x:fill>
      <x:patternFill patternType="solid">
        <x:fgColor rgb="FF2D6CDF"/>
      </x:patternFill>
    </x:fill>
    <x:fill>
      <x:patternFill patternType="solid">
        <x:fgColor rgb="FF1F9D6A"/>
      </x:patternFill>
    </x:fill>
    <x:fill>
      <x:patternFill patternType="solid">
        <x:fgColor rgb="FFE8F7F0"/>
      </x:patternFill>
    </x:fill>
    <x:fill>
      <x:patternFill patternType="solid">
        <x:fgColor rgb="FFFFF4D6"/>
      </x:patternFill>
    </x:fill>
  </x:fills>
  <x:borders count="13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1F9D6A"/>
      </x:left>
      <x:top style="thin">
        <x:color rgb="FF1F9D6A"/>
      </x:top>
    </x:border>
    <x:border>
      <x:top style="thin">
        <x:color rgb="FF1F9D6A"/>
      </x:top>
    </x:border>
    <x:border>
      <x:right style="thin">
        <x:color rgb="FF1F9D6A"/>
      </x:right>
      <x:top style="thin">
        <x:color rgb="FF1F9D6A"/>
      </x:top>
    </x:border>
    <x:border>
      <x:left style="thin">
        <x:color rgb="FF1F9D6A"/>
      </x:left>
    </x:border>
    <x:border>
      <x:right style="thin">
        <x:color rgb="FF1F9D6A"/>
      </x:right>
    </x:border>
    <x:border>
      <x:left style="thin">
        <x:color rgb="FF1F9D6A"/>
      </x:left>
      <x:bottom style="thin">
        <x:color rgb="FF1F9D6A"/>
      </x:bottom>
    </x:border>
    <x:border>
      <x:bottom style="thin">
        <x:color rgb="FF1F9D6A"/>
      </x:bottom>
    </x:border>
    <x:border>
      <x:right style="thin">
        <x:color rgb="FF1F9D6A"/>
      </x:right>
      <x:bottom style="thin">
        <x:color rgb="FF1F9D6A"/>
      </x:bottom>
    </x:border>
    <x:border>
      <x:left style="thin">
        <x:color rgb="FFD98E04"/>
      </x:left>
      <x:top style="thin">
        <x:color rgb="FFD98E04"/>
      </x:top>
      <x:bottom style="thin">
        <x:color rgb="FFD98E04"/>
      </x:bottom>
    </x:border>
    <x:border>
      <x:top style="thin">
        <x:color rgb="FFD98E04"/>
      </x:top>
      <x:bottom style="thin">
        <x:color rgb="FFD98E04"/>
      </x:bottom>
    </x:border>
    <x:border>
      <x:right style="thin">
        <x:color rgb="FFD98E04"/>
      </x:right>
      <x:top style="thin">
        <x:color rgb="FFD98E04"/>
      </x:top>
      <x:bottom style="thin">
        <x:color rgb="FFD98E04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0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F9D6A"/>
      </x:font>
      <x:fill>
        <x:patternFill patternType="solid">
          <x:bgColor rgb="FFE8F7F0"/>
        </x:patternFill>
      </x:fill>
    </x:dxf>
    <x:dxf>
      <x:font>
        <x:b/>
        <x:color rgb="FFC93C4A"/>
      </x:font>
      <x:fill>
        <x:patternFill patternType="solid">
          <x:bgColor rgb="FFFDECEF"/>
        </x:patternFill>
      </x:fill>
    </x:dxf>
    <x:dxf>
      <x:font>
        <x:b/>
        <x:color rgb="FFD98E04"/>
      </x:font>
      <x:fill>
        <x:patternFill patternType="solid">
          <x:bgColor rgb="FFFFF4D6"/>
        </x:patternFill>
      </x:fill>
    </x:dxf>
    <x:dxf>
      <x:font>
        <x:b/>
        <x:color rgb="FF1F9D6A"/>
      </x:font>
      <x:fill>
        <x:patternFill patternType="solid">
          <x:bgColor rgb="FFE8F7F0"/>
        </x:patternFill>
      </x:fill>
    </x:dxf>
    <x:dxf>
      <x:font>
        <x:b/>
        <x:color rgb="FFC93C4A"/>
      </x:font>
      <x:fill>
        <x:patternFill patternType="solid">
          <x:bgColor rgb="FFFDECEF"/>
        </x:patternFill>
      </x:fill>
    </x:dxf>
    <x:dxf>
      <x:font>
        <x:b/>
        <x:color rgb="FFD98E04"/>
      </x:font>
      <x:fill>
        <x:patternFill patternType="solid">
          <x:bgColor rgb="FFFFF4D6"/>
        </x:patternFill>
      </x:fill>
    </x:dxf>
    <x:dxf>
      <x:font>
        <x:b/>
        <x:color rgb="FF2D6CDF"/>
      </x:font>
      <x:fill>
        <x:patternFill patternType="solid">
          <x:bgColor rgb="FFEAF1FF"/>
        </x:patternFill>
      </x:fill>
    </x:dxf>
    <x:dxf>
      <x:font>
        <x:b/>
        <x:color rgb="FFC93C4A"/>
      </x:font>
      <x:fill>
        <x:patternFill patternType="solid">
          <x:bgColor rgb="FFFDECEF"/>
        </x:patternFill>
      </x:fill>
    </x:dxf>
    <x:dxf>
      <x:font>
        <x:b/>
        <x:color rgb="FFD98E04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cda6cac964537" /><Relationship Type="http://schemas.openxmlformats.org/officeDocument/2006/relationships/theme" Target="/xl/theme/theme1.xml" Id="R2030d87359454a68" /><Relationship Type="http://schemas.openxmlformats.org/officeDocument/2006/relationships/sharedStrings" Target="/xl/sharedStrings.xml" Id="R2cd91eafd5164909" /><Relationship Type="http://schemas.openxmlformats.org/officeDocument/2006/relationships/worksheet" Target="/xl/worksheets/sheet1.xml" Id="R8dbb0ecb3a524baf" /><Relationship Type="http://schemas.openxmlformats.org/officeDocument/2006/relationships/worksheet" Target="/xl/worksheets/sheet2.xml" Id="R38fbaef02b1d4ec1" /><Relationship Type="http://schemas.openxmlformats.org/officeDocument/2006/relationships/worksheet" Target="/xl/worksheets/sheet3.xml" Id="Rcbd7fc9021d0465c" /><Relationship Type="http://schemas.openxmlformats.org/officeDocument/2006/relationships/worksheet" Target="/xl/worksheets/sheet4.xml" Id="R3f2674b5f2914e77" /><Relationship Type="http://schemas.openxmlformats.org/officeDocument/2006/relationships/worksheet" Target="/xl/worksheets/sheet5.xml" Id="Re28881ddfeb74c4e" /><Relationship Type="http://schemas.openxmlformats.org/officeDocument/2006/relationships/worksheet" Target="/xl/worksheets/sheet6.xml" Id="R42a61fa4314d46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ea873a201e4e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UI Operations (seconds)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Seconds</c:v>
          </c:tx>
          <c:cat>
            <c:strRef>
              <c:f>'Performance'!$H$4:$H$14</c:f>
              <c:strCache>
                <c:ptCount val="0"/>
              </c:strCache>
            </c:strRef>
          </c:cat>
          <c:val>
            <c:numRef>
              <c:f>'Performance'!$I$4:$I$14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ea873a201e4e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8cc5340f51f47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3" hidden="0" customWidth="1"/>
    <x:col min="4" max="4" width="25" hidden="0" customWidth="1"/>
    <x:col min="5" max="5" width="31" hidden="0" customWidth="1"/>
    <x:col min="6" max="6" width="25" hidden="0" customWidth="1"/>
    <x:col min="7" max="7" width="18" hidden="0" customWidth="1"/>
    <x:col min="8" max="8" width="34" hidden="0" customWidth="1"/>
  </x:cols>
  <x:sheetData>
    <x:row r="1" ht="34" customHeight="1">
      <x:c r="A1" s="3" t="str">
        <x:v>AntRep Live End-to-End Test Report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UI-created accounts, plan assignment, historical batch logging, forward completion simulation, live database reconciliation · 11 Aug 2026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2" t="str">
        <x:v>KPI</x:v>
      </x:c>
      <x:c r="B4" s="12" t="str">
        <x:v>Result</x:v>
      </x:c>
      <x:c r="D4" s="12" t="str">
        <x:v>Outcome</x:v>
      </x:c>
      <x:c r="E4" s="12" t="str">
        <x:v>Evidence</x:v>
      </x:c>
      <x:c r="F4" s="12" t="str">
        <x:v>Assessment</x:v>
      </x:c>
      <x:c r="G4" s="12" t="str">
        <x:v>Owner</x:v>
      </x:c>
      <x:c r="H4" s="12" t="str">
        <x:v>Next action</x:v>
      </x:c>
    </x:row>
    <x:row r="5">
      <x:c r="A5" s="17" t="str">
        <x:v>Executed test cases</x:v>
      </x:c>
      <x:c r="B5" s="18" t="n">
        <x:f>COUNTA('Test Cases'!A4:A40)</x:f>
        <x:v>24</x:v>
      </x:c>
      <x:c r="D5" s="20" t="str">
        <x:v>Account + coach link</x:v>
      </x:c>
      <x:c r="E5" s="15" t="str">
        <x:v>2 verified UI sign-ups; invite linked</x:v>
      </x:c>
      <x:c r="F5" s="15" t="str">
        <x:v>Pass after live approval repair</x:v>
      </x:c>
      <x:c r="G5" s="15" t="str">
        <x:v>Auth / profiles</x:v>
      </x:c>
      <x:c r="H5" s="15" t="str">
        <x:v>Fix fresh-profile approval trigger</x:v>
      </x:c>
    </x:row>
    <x:row r="6">
      <x:c r="A6" s="17" t="str">
        <x:v>Passed</x:v>
      </x:c>
      <x:c r="B6" s="18" t="n">
        <x:f>COUNTIF('Test Cases'!E4:E40,"PASS")</x:f>
        <x:v>21</x:v>
      </x:c>
      <x:c r="D6" s="20" t="str">
        <x:v>Plan model</x:v>
      </x:c>
      <x:c r="E6" s="15" t="str">
        <x:v>Weekly + 3-block split; templates store no dates</x:v>
      </x:c>
      <x:c r="F6" s="15" t="str">
        <x:v>Pass</x:v>
      </x:c>
      <x:c r="G6" s="15" t="str">
        <x:v>Plans</x:v>
      </x:c>
      <x:c r="H6" s="15" t="str">
        <x:v>Add calendar-month duration option</x:v>
      </x:c>
    </x:row>
    <x:row r="7">
      <x:c r="A7" s="17" t="str">
        <x:v>Failed / blocked</x:v>
      </x:c>
      <x:c r="B7" s="18" t="n">
        <x:f>COUNTIF('Test Cases'!E4:E40,"FAIL")+COUNTIF('Test Cases'!E4:E40,"BLOCKED")</x:f>
        <x:v>3</x:v>
      </x:c>
      <x:c r="D7" s="20" t="str">
        <x:v>Assignment dates</x:v>
      </x:c>
      <x:c r="E7" s="15" t="str">
        <x:v>Both start 10 Jun; end 9/13 Oct</x:v>
      </x:c>
      <x:c r="F7" s="15" t="str">
        <x:v>Pass</x:v>
      </x:c>
      <x:c r="G7" s="15" t="str">
        <x:v>Assignments</x:v>
      </x:c>
      <x:c r="H7" s="15" t="str">
        <x:v>Show start date on assignment cards</x:v>
      </x:c>
    </x:row>
    <x:row r="8">
      <x:c r="A8" s="17" t="str">
        <x:v>Pass rate</x:v>
      </x:c>
      <x:c r="B8" s="19" t="n">
        <x:f>IFERROR(B6/B5,0)</x:f>
        <x:v>0.875</x:v>
      </x:c>
      <x:c r="D8" s="20" t="str">
        <x:v>Historical data</x:v>
      </x:c>
      <x:c r="E8" s="15" t="str">
        <x:v>Athlete first half; coach second half</x:v>
      </x:c>
      <x:c r="F8" s="15" t="str">
        <x:v>Pass</x:v>
      </x:c>
      <x:c r="G8" s="15" t="str">
        <x:v>Batch logging</x:v>
      </x:c>
      <x:c r="H8" s="15" t="str">
        <x:v>Add save progress and chunking</x:v>
      </x:c>
    </x:row>
    <x:row r="9">
      <x:c r="A9" s="17" t="str">
        <x:v>UI-created sessions</x:v>
      </x:c>
      <x:c r="B9" s="18" t="n">
        <x:f>'Data Audit'!C8</x:f>
        <x:v>212</x:v>
      </x:c>
      <x:c r="D9" s="20" t="str">
        <x:v>Forward simulation</x:v>
      </x:c>
      <x:c r="E9" s="15" t="str">
        <x:v>723 future set rows saved via UI</x:v>
      </x:c>
      <x:c r="F9" s="15" t="str">
        <x:v>Pass with validation risk</x:v>
      </x:c>
      <x:c r="G9" s="15" t="str">
        <x:v>Batch logging</x:v>
      </x:c>
      <x:c r="H9" s="15" t="str">
        <x:v>Enforce or deliberately support future dates</x:v>
      </x:c>
    </x:row>
    <x:row r="10">
      <x:c r="A10" s="17" t="str">
        <x:v>UI-created set logs</x:v>
      </x:c>
      <x:c r="B10" s="18" t="n">
        <x:f>'Data Audit'!C9</x:f>
        <x:v>1440</x:v>
      </x:c>
      <x:c r="D10" s="20" t="str">
        <x:v>Data integrity</x:v>
      </x:c>
      <x:c r="E10" s="15" t="str">
        <x:v>212 sessions; 1,440 sets; 0 duplicates/errors</x:v>
      </x:c>
      <x:c r="F10" s="15" t="str">
        <x:v>Pass</x:v>
      </x:c>
      <x:c r="G10" s="15" t="str">
        <x:v>Database</x:v>
      </x:c>
      <x:c r="H10" s="15" t="str">
        <x:v>Add automated reconciliation test</x:v>
      </x:c>
    </x:row>
    <x:row r="11">
      <x:c r="A11" s="17" t="str">
        <x:v>Duplicate session groups</x:v>
      </x:c>
      <x:c r="B11" s="18" t="n">
        <x:f>'Data Audit'!C13</x:f>
        <x:v>0</x:v>
      </x:c>
    </x:row>
    <x:row r="12">
      <x:c r="A12" s="17" t="str">
        <x:v>Ownership errors</x:v>
      </x:c>
      <x:c r="B12" s="18" t="n">
        <x:f>'Data Audit'!C14</x:f>
        <x:v>0</x:v>
      </x:c>
    </x:row>
    <x:row r="14">
      <x:c r="A14" s="22" t="str">
        <x:v>Overall conclusion</x:v>
      </x:c>
      <x:c r="B14" s="22"/>
      <x:c r="C14" s="22"/>
      <x:c r="D14" s="22"/>
      <x:c r="E14" s="22"/>
      <x:c r="F14" s="22"/>
      <x:c r="G14" s="22"/>
      <x:c r="H14" s="22"/>
    </x:row>
    <x:row r="15">
      <x:c r="A15" s="42" t="str">
        <x:v>The full data path works end to end after repairing live approval state: account creation → coach invitation → plan authoring → athlete-specific assignment → athlete and coach logging → analytics → database persistence. The primary release risks are fresh-account approval, future-date validation, and batch-save latency. The large simulation completed without duplicates or cross-athlete ownership errors.</x:v>
      </x:c>
      <x:c r="B15" s="43"/>
      <x:c r="C15" s="43"/>
      <x:c r="D15" s="43"/>
      <x:c r="E15" s="43"/>
      <x:c r="F15" s="43"/>
      <x:c r="G15" s="43"/>
      <x:c r="H15" s="44"/>
    </x:row>
    <x:row r="16">
      <x:c r="A16" s="45"/>
      <x:c r="B16" s="46"/>
      <x:c r="C16" s="46"/>
      <x:c r="D16" s="46"/>
      <x:c r="E16" s="46"/>
      <x:c r="F16" s="46"/>
      <x:c r="G16" s="46"/>
      <x:c r="H16" s="47"/>
    </x:row>
    <x:row r="17">
      <x:c r="A17" s="48"/>
      <x:c r="B17" s="49"/>
      <x:c r="C17" s="49"/>
      <x:c r="D17" s="49"/>
      <x:c r="E17" s="49"/>
      <x:c r="F17" s="49"/>
      <x:c r="G17" s="49"/>
      <x:c r="H17" s="50"/>
    </x:row>
  </x:sheetData>
  <x:mergeCells>
    <x:mergeCell ref="A1:H1"/>
    <x:mergeCell ref="A2:H2"/>
    <x:mergeCell ref="A14:H14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31" hidden="0" customWidth="1"/>
    <x:col min="4" max="4" width="32" hidden="0" customWidth="1"/>
    <x:col min="5" max="5" width="13" hidden="0" customWidth="1"/>
    <x:col min="6" max="6" width="54" hidden="0" customWidth="1"/>
    <x:col min="7" max="7" width="16" hidden="0" customWidth="1"/>
  </x:cols>
  <x:sheetData>
    <x:row r="1" ht="34" customHeight="1">
      <x:c r="A1" s="3" t="str">
        <x:v>Test Cases</x:v>
      </x:c>
      <x:c r="B1" s="3"/>
      <x:c r="C1" s="3"/>
      <x:c r="D1" s="3"/>
      <x:c r="E1" s="3"/>
      <x:c r="F1" s="3"/>
      <x:c r="G1" s="3"/>
    </x:row>
    <x:row r="2" ht="30" customHeight="1">
      <x:c r="A2" s="7" t="str">
        <x:v>Executed against the live Supabase-backed application using only visible product UI for account, plan, assignment, and training-data creation.</x:v>
      </x:c>
      <x:c r="B2" s="7"/>
      <x:c r="C2" s="7"/>
      <x:c r="D2" s="7"/>
      <x:c r="E2" s="7"/>
      <x:c r="F2" s="7"/>
      <x:c r="G2" s="7"/>
    </x:row>
    <x:row r="3" ht="28" customHeight="1">
      <x:c r="A3" s="12" t="str">
        <x:v>ID</x:v>
      </x:c>
      <x:c r="B3" s="12" t="str">
        <x:v>Area</x:v>
      </x:c>
      <x:c r="C3" s="12" t="str">
        <x:v>Scenario</x:v>
      </x:c>
      <x:c r="D3" s="12" t="str">
        <x:v>Expected</x:v>
      </x:c>
      <x:c r="E3" s="12" t="str">
        <x:v>Status</x:v>
      </x:c>
      <x:c r="F3" s="12" t="str">
        <x:v>Evidence / notes</x:v>
      </x:c>
      <x:c r="G3" s="12" t="str">
        <x:v>Source</x:v>
      </x:c>
    </x:row>
    <x:row r="4">
      <x:c r="A4" s="15" t="str">
        <x:v>TC-001</x:v>
      </x:c>
      <x:c r="B4" s="15" t="str">
        <x:v>Auth</x:v>
      </x:c>
      <x:c r="C4" s="15" t="str">
        <x:v>Create athlete account through UI</x:v>
      </x:c>
      <x:c r="D4" s="15" t="str">
        <x:v>Verified Ants Pants profile</x:v>
      </x:c>
      <x:c r="E4" s="15" t="str">
        <x:v>PASS</x:v>
      </x:c>
      <x:c r="F4" s="15" t="str">
        <x:v>Created with dummy email; force-confirmed after UI signup</x:v>
      </x:c>
      <x:c r="G4" s="15" t="str">
        <x:v>Live</x:v>
      </x:c>
    </x:row>
    <x:row r="5">
      <x:c r="A5" s="15" t="str">
        <x:v>TC-002</x:v>
      </x:c>
      <x:c r="B5" s="15" t="str">
        <x:v>Auth</x:v>
      </x:c>
      <x:c r="C5" s="15" t="str">
        <x:v>Create coach account through UI</x:v>
      </x:c>
      <x:c r="D5" s="15" t="str">
        <x:v>Verified Sir Pants profile</x:v>
      </x:c>
      <x:c r="E5" s="15" t="str">
        <x:v>PASS</x:v>
      </x:c>
      <x:c r="F5" s="15" t="str">
        <x:v>Created with dummy email; force-confirmed after UI signup</x:v>
      </x:c>
      <x:c r="G5" s="15" t="str">
        <x:v>Live</x:v>
      </x:c>
    </x:row>
    <x:row r="6">
      <x:c r="A6" s="15" t="str">
        <x:v>TC-003</x:v>
      </x:c>
      <x:c r="B6" s="15" t="str">
        <x:v>Auth</x:v>
      </x:c>
      <x:c r="C6" s="15" t="str">
        <x:v>Live signup availability</x:v>
      </x:c>
      <x:c r="D6" s="15" t="str">
        <x:v>Signup permitted</x:v>
      </x:c>
      <x:c r="E6" s="15" t="str">
        <x:v>BLOCKED</x:v>
      </x:c>
      <x:c r="F6" s="15" t="str">
        <x:v>Initial response: Signups not allowed for this instance</x:v>
      </x:c>
      <x:c r="G6" s="15" t="str">
        <x:v>Live config</x:v>
      </x:c>
    </x:row>
    <x:row r="7">
      <x:c r="A7" s="15" t="str">
        <x:v>TC-004</x:v>
      </x:c>
      <x:c r="B7" s="15" t="str">
        <x:v>Coach linking</x:v>
      </x:c>
      <x:c r="C7" s="15" t="str">
        <x:v>Coach creates invite</x:v>
      </x:c>
      <x:c r="D7" s="15" t="str">
        <x:v>Invite code issued</x:v>
      </x:c>
      <x:c r="E7" s="15" t="str">
        <x:v>PASS</x:v>
      </x:c>
      <x:c r="F7" s="15" t="str">
        <x:v>Succeeded after approval repair</x:v>
      </x:c>
      <x:c r="G7" s="15" t="str">
        <x:v>UI + DB state</x:v>
      </x:c>
    </x:row>
    <x:row r="8">
      <x:c r="A8" s="15" t="str">
        <x:v>TC-005</x:v>
      </x:c>
      <x:c r="B8" s="15" t="str">
        <x:v>Coach linking</x:v>
      </x:c>
      <x:c r="C8" s="15" t="str">
        <x:v>Athlete claims invite</x:v>
      </x:c>
      <x:c r="D8" s="15" t="str">
        <x:v>Coach appears in athlete Settings</x:v>
      </x:c>
      <x:c r="E8" s="15" t="str">
        <x:v>PASS</x:v>
      </x:c>
      <x:c r="F8" s="15" t="str">
        <x:v>Succeeded after athlete approval repair</x:v>
      </x:c>
      <x:c r="G8" s="15" t="str">
        <x:v>UI</x:v>
      </x:c>
    </x:row>
    <x:row r="9">
      <x:c r="A9" s="15" t="str">
        <x:v>TC-006</x:v>
      </x:c>
      <x:c r="B9" s="15" t="str">
        <x:v>Plans</x:v>
      </x:c>
      <x:c r="C9" s="15" t="str">
        <x:v>Create weekly 5-day plan</x:v>
      </x:c>
      <x:c r="D9" s="15" t="str">
        <x:v>5 required weekdays + optional weekend</x:v>
      </x:c>
      <x:c r="E9" s="15" t="str">
        <x:v>PASS</x:v>
      </x:c>
      <x:c r="F9" s="15" t="str">
        <x:v>19 exercises across 7 day cards</x:v>
      </x:c>
      <x:c r="G9" s="15" t="str">
        <x:v>UI</x:v>
      </x:c>
    </x:row>
    <x:row r="10">
      <x:c r="A10" s="15" t="str">
        <x:v>TC-007</x:v>
      </x:c>
      <x:c r="B10" s="15" t="str">
        <x:v>Plans</x:v>
      </x:c>
      <x:c r="C10" s="15" t="str">
        <x:v>Create 3-block split plan</x:v>
      </x:c>
      <x:c r="D10" s="15" t="str">
        <x:v>3+0r / 3+1r / 1+2r</x:v>
      </x:c>
      <x:c r="E10" s="15" t="str">
        <x:v>PASS</x:v>
      </x:c>
      <x:c r="F10" s="15" t="str">
        <x:v>All active split days optional</x:v>
      </x:c>
      <x:c r="G10" s="15" t="str">
        <x:v>UI</x:v>
      </x:c>
    </x:row>
    <x:row r="11">
      <x:c r="A11" s="15" t="str">
        <x:v>TC-008</x:v>
      </x:c>
      <x:c r="B11" s="15" t="str">
        <x:v>Plans</x:v>
      </x:c>
      <x:c r="C11" s="15" t="str">
        <x:v>Template dates remain unset</x:v>
      </x:c>
      <x:c r="D11" s="15" t="str">
        <x:v>No start/end dates on templates</x:v>
      </x:c>
      <x:c r="E11" s="15" t="str">
        <x:v>PASS</x:v>
      </x:c>
      <x:c r="F11" s="15" t="str">
        <x:v>Live audit: both template dates null</x:v>
      </x:c>
      <x:c r="G11" s="15" t="str">
        <x:v>DB audit</x:v>
      </x:c>
    </x:row>
    <x:row r="12">
      <x:c r="A12" s="15" t="str">
        <x:v>TC-009</x:v>
      </x:c>
      <x:c r="B12" s="15" t="str">
        <x:v>Assignment</x:v>
      </x:c>
      <x:c r="C12" s="15" t="str">
        <x:v>Assign weekly from 10 Jun</x:v>
      </x:c>
      <x:c r="D12" s="15" t="str">
        <x:v>Ends 13 Oct</x:v>
      </x:c>
      <x:c r="E12" s="15" t="str">
        <x:v>PASS</x:v>
      </x:c>
      <x:c r="F12" s="15" t="str">
        <x:v>126-day whole-week duration</x:v>
      </x:c>
      <x:c r="G12" s="15" t="str">
        <x:v>UI + DB audit</x:v>
      </x:c>
    </x:row>
    <x:row r="13">
      <x:c r="A13" s="15" t="str">
        <x:v>TC-010</x:v>
      </x:c>
      <x:c r="B13" s="15" t="str">
        <x:v>Assignment</x:v>
      </x:c>
      <x:c r="C13" s="15" t="str">
        <x:v>Assign split from 10 Jun</x:v>
      </x:c>
      <x:c r="D13" s="15" t="str">
        <x:v>Ends 9 Oct</x:v>
      </x:c>
      <x:c r="E13" s="15" t="str">
        <x:v>PASS</x:v>
      </x:c>
      <x:c r="F13" s="15" t="str">
        <x:v>122-day exact duration</x:v>
      </x:c>
      <x:c r="G13" s="15" t="str">
        <x:v>UI + DB audit</x:v>
      </x:c>
    </x:row>
    <x:row r="14">
      <x:c r="A14" s="15" t="str">
        <x:v>TC-011</x:v>
      </x:c>
      <x:c r="B14" s="15" t="str">
        <x:v>Athlete</x:v>
      </x:c>
      <x:c r="C14" s="15" t="str">
        <x:v>Athlete sees both plans active</x:v>
      </x:c>
      <x:c r="D14" s="15" t="str">
        <x:v>2 current plans</x:v>
      </x:c>
      <x:c r="E14" s="15" t="str">
        <x:v>PASS</x:v>
      </x:c>
      <x:c r="F14" s="15" t="str">
        <x:v>Both displayed Active</x:v>
      </x:c>
      <x:c r="G14" s="15" t="str">
        <x:v>UI</x:v>
      </x:c>
    </x:row>
    <x:row r="15">
      <x:c r="A15" s="15" t="str">
        <x:v>TC-012</x:v>
      </x:c>
      <x:c r="B15" s="15" t="str">
        <x:v>Athlete batch</x:v>
      </x:c>
      <x:c r="C15" s="15" t="str">
        <x:v>Weekly data 10 Jun–10 Jul</x:v>
      </x:c>
      <x:c r="D15" s="15" t="str">
        <x:v>85 exercises / 259 set rows</x:v>
      </x:c>
      <x:c r="E15" s="15" t="str">
        <x:v>PASS</x:v>
      </x:c>
      <x:c r="F15" s="15" t="str">
        <x:v>Entered through athlete grid</x:v>
      </x:c>
      <x:c r="G15" s="15" t="str">
        <x:v>UI</x:v>
      </x:c>
    </x:row>
    <x:row r="16">
      <x:c r="A16" s="15" t="str">
        <x:v>TC-013</x:v>
      </x:c>
      <x:c r="B16" s="15" t="str">
        <x:v>Athlete batch</x:v>
      </x:c>
      <x:c r="C16" s="15" t="str">
        <x:v>Split data 10 Jun–10 Jul</x:v>
      </x:c>
      <x:c r="D16" s="15" t="str">
        <x:v>35 exercises / 102 set rows</x:v>
      </x:c>
      <x:c r="E16" s="15" t="str">
        <x:v>PASS</x:v>
      </x:c>
      <x:c r="F16" s="15" t="str">
        <x:v>Entered through athlete grid</x:v>
      </x:c>
      <x:c r="G16" s="15" t="str">
        <x:v>UI</x:v>
      </x:c>
    </x:row>
    <x:row r="17">
      <x:c r="A17" s="15" t="str">
        <x:v>TC-014</x:v>
      </x:c>
      <x:c r="B17" s="15" t="str">
        <x:v>Coach batch</x:v>
      </x:c>
      <x:c r="C17" s="15" t="str">
        <x:v>Weekly data 11 Jul–10 Aug</x:v>
      </x:c>
      <x:c r="D17" s="15" t="str">
        <x:v>83 exercises / 254 set rows</x:v>
      </x:c>
      <x:c r="E17" s="15" t="str">
        <x:v>PASS</x:v>
      </x:c>
      <x:c r="F17" s="15" t="str">
        <x:v>Coach editor identifies Ants Pants ownership</x:v>
      </x:c>
      <x:c r="G17" s="15" t="str">
        <x:v>UI</x:v>
      </x:c>
    </x:row>
    <x:row r="18">
      <x:c r="A18" s="15" t="str">
        <x:v>TC-015</x:v>
      </x:c>
      <x:c r="B18" s="15" t="str">
        <x:v>Coach batch</x:v>
      </x:c>
      <x:c r="C18" s="15" t="str">
        <x:v>Split data 11 Jul–10 Aug</x:v>
      </x:c>
      <x:c r="D18" s="15" t="str">
        <x:v>35 exercises / 102 set rows</x:v>
      </x:c>
      <x:c r="E18" s="15" t="str">
        <x:v>PASS</x:v>
      </x:c>
      <x:c r="F18" s="15" t="str">
        <x:v>Saved to athlete profile</x:v>
      </x:c>
      <x:c r="G18" s="15" t="str">
        <x:v>UI</x:v>
      </x:c>
    </x:row>
    <x:row r="19">
      <x:c r="A19" s="15" t="str">
        <x:v>TC-016</x:v>
      </x:c>
      <x:c r="B19" s="15" t="str">
        <x:v>Simulation</x:v>
      </x:c>
      <x:c r="C19" s="15" t="str">
        <x:v>Weekly 11 Aug–13 Oct</x:v>
      </x:c>
      <x:c r="D19" s="15" t="str">
        <x:v>174 exercises / 531 sets</x:v>
      </x:c>
      <x:c r="E19" s="15" t="str">
        <x:v>PASS</x:v>
      </x:c>
      <x:c r="F19" s="15" t="str">
        <x:v>Future occurrences completed via UI</x:v>
      </x:c>
      <x:c r="G19" s="15" t="str">
        <x:v>UI</x:v>
      </x:c>
    </x:row>
    <x:row r="20">
      <x:c r="A20" s="15" t="str">
        <x:v>TC-017</x:v>
      </x:c>
      <x:c r="B20" s="15" t="str">
        <x:v>Simulation</x:v>
      </x:c>
      <x:c r="C20" s="15" t="str">
        <x:v>Split 11 Aug–9 Oct</x:v>
      </x:c>
      <x:c r="D20" s="15" t="str">
        <x:v>66 exercises / 192 sets</x:v>
      </x:c>
      <x:c r="E20" s="15" t="str">
        <x:v>PASS</x:v>
      </x:c>
      <x:c r="F20" s="15" t="str">
        <x:v>Future occurrences completed via UI</x:v>
      </x:c>
      <x:c r="G20" s="15" t="str">
        <x:v>UI</x:v>
      </x:c>
    </x:row>
    <x:row r="21">
      <x:c r="A21" s="15" t="str">
        <x:v>TC-018</x:v>
      </x:c>
      <x:c r="B21" s="15" t="str">
        <x:v>Integrity</x:v>
      </x:c>
      <x:c r="C21" s="15" t="str">
        <x:v>Session ownership</x:v>
      </x:c>
      <x:c r="D21" s="15" t="str">
        <x:v>0 wrong-athlete sessions</x:v>
      </x:c>
      <x:c r="E21" s="15" t="str">
        <x:v>PASS</x:v>
      </x:c>
      <x:c r="F21" s="15" t="str">
        <x:v>All 212 sessions owned by Ants Pants</x:v>
      </x:c>
      <x:c r="G21" s="15" t="str">
        <x:v>DB audit</x:v>
      </x:c>
    </x:row>
    <x:row r="22">
      <x:c r="A22" s="15" t="str">
        <x:v>TC-019</x:v>
      </x:c>
      <x:c r="B22" s="15" t="str">
        <x:v>Integrity</x:v>
      </x:c>
      <x:c r="C22" s="15" t="str">
        <x:v>Duplicate detection</x:v>
      </x:c>
      <x:c r="D22" s="15" t="str">
        <x:v>0 duplicate groups</x:v>
      </x:c>
      <x:c r="E22" s="15" t="str">
        <x:v>PASS</x:v>
      </x:c>
      <x:c r="F22" s="15" t="str">
        <x:v>Date + plan + day + segment key</x:v>
      </x:c>
      <x:c r="G22" s="15" t="str">
        <x:v>DB audit</x:v>
      </x:c>
    </x:row>
    <x:row r="23">
      <x:c r="A23" s="15" t="str">
        <x:v>TC-020</x:v>
      </x:c>
      <x:c r="B23" s="15" t="str">
        <x:v>Integrity</x:v>
      </x:c>
      <x:c r="C23" s="15" t="str">
        <x:v>Full date coverage</x:v>
      </x:c>
      <x:c r="D23" s="15" t="str">
        <x:v>10 Jun–13 Oct</x:v>
      </x:c>
      <x:c r="E23" s="15" t="str">
        <x:v>PASS</x:v>
      </x:c>
      <x:c r="F23" s="15" t="str">
        <x:v>126 distinct logged dates</x:v>
      </x:c>
      <x:c r="G23" s="15" t="str">
        <x:v>DB audit</x:v>
      </x:c>
    </x:row>
    <x:row r="24">
      <x:c r="A24" s="15" t="str">
        <x:v>TC-021</x:v>
      </x:c>
      <x:c r="B24" s="15" t="str">
        <x:v>Integrity</x:v>
      </x:c>
      <x:c r="C24" s="15" t="str">
        <x:v>Set persistence</x:v>
      </x:c>
      <x:c r="D24" s="15" t="str">
        <x:v>1,440 set logs</x:v>
      </x:c>
      <x:c r="E24" s="15" t="str">
        <x:v>PASS</x:v>
      </x:c>
      <x:c r="F24" s="15" t="str">
        <x:v>396 split + 1,044 weekly</x:v>
      </x:c>
      <x:c r="G24" s="15" t="str">
        <x:v>DB audit</x:v>
      </x:c>
    </x:row>
    <x:row r="25">
      <x:c r="A25" s="15" t="str">
        <x:v>TC-022</x:v>
      </x:c>
      <x:c r="B25" s="15" t="str">
        <x:v>Analytics</x:v>
      </x:c>
      <x:c r="C25" s="15" t="str">
        <x:v>Coach sees athlete history</x:v>
      </x:c>
      <x:c r="D25" s="15" t="str">
        <x:v>Streak/totals/latest sessions update</x:v>
      </x:c>
      <x:c r="E25" s="15" t="str">
        <x:v>PASS</x:v>
      </x:c>
      <x:c r="F25" s="15" t="str">
        <x:v>62-day streak after historical phase</x:v>
      </x:c>
      <x:c r="G25" s="15" t="str">
        <x:v>UI</x:v>
      </x:c>
    </x:row>
    <x:row r="26">
      <x:c r="A26" s="15" t="str">
        <x:v>TC-023</x:v>
      </x:c>
      <x:c r="B26" s="15" t="str">
        <x:v>Validation</x:v>
      </x:c>
      <x:c r="C26" s="15" t="str">
        <x:v>Future date limit</x:v>
      </x:c>
      <x:c r="D26" s="15" t="str">
        <x:v>Future dates rejected or intentional mode</x:v>
      </x:c>
      <x:c r="E26" s="15" t="str">
        <x:v>FAIL</x:v>
      </x:c>
      <x:c r="F26" s="15" t="str">
        <x:v>Input advertises max=today but keyboard entry saved future sessions</x:v>
      </x:c>
      <x:c r="G26" s="15" t="str">
        <x:v>UI</x:v>
      </x:c>
    </x:row>
    <x:row r="27">
      <x:c r="A27" s="15" t="str">
        <x:v>TC-024</x:v>
      </x:c>
      <x:c r="B27" s="15" t="str">
        <x:v>Performance</x:v>
      </x:c>
      <x:c r="C27" s="15" t="str">
        <x:v>Largest batch save</x:v>
      </x:c>
      <x:c r="D27" s="15" t="str">
        <x:v>Responsive progress and &lt;15s</x:v>
      </x:c>
      <x:c r="E27" s="15" t="str">
        <x:v>FAIL</x:v>
      </x:c>
      <x:c r="F27" s="15" t="str">
        <x:v>531-set save took 57.4s with only Saving…</x:v>
      </x:c>
      <x:c r="G27" s="15" t="str">
        <x:v>UI timing</x:v>
      </x:c>
    </x:row>
  </x:sheetData>
  <x:mergeCells>
    <x:mergeCell ref="A1:G1"/>
    <x:mergeCell ref="A2:G2"/>
  </x:mergeCells>
  <x:conditionalFormatting sqref="E4:E2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9" hidden="0" customWidth="1"/>
    <x:col min="7" max="7" width="14" hidden="0" customWidth="1"/>
    <x:col min="8" max="8" width="39" hidden="0" customWidth="1"/>
  </x:cols>
  <x:sheetData>
    <x:row r="1" ht="34" customHeight="1">
      <x:c r="A1" s="3" t="str">
        <x:v>Live Data Audit</x:v>
      </x:c>
      <x:c r="B1" s="3"/>
      <x:c r="C1" s="3"/>
      <x:c r="D1" s="3"/>
      <x:c r="E1" s="3"/>
      <x:c r="F1" s="3"/>
    </x:row>
    <x:row r="2" ht="30" customHeight="1">
      <x:c r="A2" s="7" t="str">
        <x:v>Read-only reconciliation after all UI flows. Counts are scoped to Ants Pants and the two Pants 4-Month plans.</x:v>
      </x:c>
      <x:c r="B2" s="7"/>
      <x:c r="C2" s="7"/>
      <x:c r="D2" s="7"/>
      <x:c r="E2" s="7"/>
      <x:c r="F2" s="7"/>
    </x:row>
    <x:row r="3" ht="28" customHeight="1">
      <x:c r="A3" s="12" t="str">
        <x:v>Metric</x:v>
      </x:c>
      <x:c r="B3" s="12" t="str">
        <x:v>Expected</x:v>
      </x:c>
      <x:c r="C3" s="12" t="str">
        <x:v>Actual</x:v>
      </x:c>
      <x:c r="D3" s="12" t="str">
        <x:v>Variance</x:v>
      </x:c>
      <x:c r="E3" s="12" t="str">
        <x:v>Status</x:v>
      </x:c>
      <x:c r="F3" s="12" t="str">
        <x:v>Evidence</x:v>
      </x:c>
    </x:row>
    <x:row r="4">
      <x:c r="A4" s="15" t="str">
        <x:v>Verified test accounts</x:v>
      </x:c>
      <x:c r="B4" s="15" t="n">
        <x:v>2</x:v>
      </x:c>
      <x:c r="C4" s="15" t="n">
        <x:v>2</x:v>
      </x:c>
      <x:c r="D4" s="15" t="n">
        <x:f>C4-B4</x:f>
        <x:v>0</x:v>
      </x:c>
      <x:c r="E4" s="15" t="str">
        <x:f>IF(D4=0,"PASS","REVIEW")</x:f>
        <x:v>PASS</x:v>
      </x:c>
      <x:c r="F4" s="15" t="str">
        <x:v>Both auth users have email_confirmed_at</x:v>
      </x:c>
    </x:row>
    <x:row r="5">
      <x:c r="A5" s="15" t="str">
        <x:v>Plans</x:v>
      </x:c>
      <x:c r="B5" s="15" t="n">
        <x:v>2</x:v>
      </x:c>
      <x:c r="C5" s="15" t="n">
        <x:v>2</x:v>
      </x:c>
      <x:c r="D5" s="15" t="n">
        <x:f>C5-B5</x:f>
        <x:v>0</x:v>
      </x:c>
      <x:c r="E5" s="15" t="str">
        <x:f>IF(D5=0,"PASS","REVIEW")</x:f>
        <x:v>PASS</x:v>
      </x:c>
      <x:c r="F5" s="15" t="str">
        <x:v>Weekly + optional run/core</x:v>
      </x:c>
    </x:row>
    <x:row r="6">
      <x:c r="A6" s="15" t="str">
        <x:v>Active assignments</x:v>
      </x:c>
      <x:c r="B6" s="15" t="n">
        <x:v>2</x:v>
      </x:c>
      <x:c r="C6" s="15" t="n">
        <x:v>2</x:v>
      </x:c>
      <x:c r="D6" s="15" t="n">
        <x:f>C6-B6</x:f>
        <x:v>0</x:v>
      </x:c>
      <x:c r="E6" s="15" t="str">
        <x:f>IF(D6=0,"PASS","REVIEW")</x:f>
        <x:v>PASS</x:v>
      </x:c>
      <x:c r="F6" s="15" t="str">
        <x:v>Both scheduled from 2026-06-10</x:v>
      </x:c>
    </x:row>
    <x:row r="7">
      <x:c r="A7" s="15" t="str">
        <x:v>Template start dates</x:v>
      </x:c>
      <x:c r="B7" s="15" t="n">
        <x:v>0</x:v>
      </x:c>
      <x:c r="C7" s="15" t="n">
        <x:v>0</x:v>
      </x:c>
      <x:c r="D7" s="15" t="n">
        <x:f>C7-B7</x:f>
        <x:v>0</x:v>
      </x:c>
      <x:c r="E7" s="15" t="str">
        <x:f>IF(D7=0,"PASS","REVIEW")</x:f>
        <x:v>PASS</x:v>
      </x:c>
      <x:c r="F7" s="15" t="str">
        <x:v>Both plans start_date null</x:v>
      </x:c>
    </x:row>
    <x:row r="8">
      <x:c r="A8" s="15" t="str">
        <x:v>Sessions</x:v>
      </x:c>
      <x:c r="B8" s="15" t="n">
        <x:v>212</x:v>
      </x:c>
      <x:c r="C8" s="15" t="n">
        <x:v>212</x:v>
      </x:c>
      <x:c r="D8" s="15" t="n">
        <x:f>C8-B8</x:f>
        <x:v>0</x:v>
      </x:c>
      <x:c r="E8" s="15" t="str">
        <x:f>IF(D8=0,"PASS","REVIEW")</x:f>
        <x:v>PASS</x:v>
      </x:c>
      <x:c r="F8" s="15" t="str">
        <x:v>126 weekly + 86 split</x:v>
      </x:c>
    </x:row>
    <x:row r="9">
      <x:c r="A9" s="15" t="str">
        <x:v>Set logs</x:v>
      </x:c>
      <x:c r="B9" s="15" t="n">
        <x:v>1440</x:v>
      </x:c>
      <x:c r="C9" s="15" t="n">
        <x:v>1440</x:v>
      </x:c>
      <x:c r="D9" s="15" t="n">
        <x:f>C9-B9</x:f>
        <x:v>0</x:v>
      </x:c>
      <x:c r="E9" s="15" t="str">
        <x:f>IF(D9=0,"PASS","REVIEW")</x:f>
        <x:v>PASS</x:v>
      </x:c>
      <x:c r="F9" s="15" t="str">
        <x:v>1,044 weekly + 396 split</x:v>
      </x:c>
    </x:row>
    <x:row r="10">
      <x:c r="A10" s="15" t="str">
        <x:v>Distinct logged dates</x:v>
      </x:c>
      <x:c r="B10" s="15" t="n">
        <x:v>126</x:v>
      </x:c>
      <x:c r="C10" s="15" t="n">
        <x:v>126</x:v>
      </x:c>
      <x:c r="D10" s="15" t="n">
        <x:f>C10-B10</x:f>
        <x:v>0</x:v>
      </x:c>
      <x:c r="E10" s="15" t="str">
        <x:f>IF(D10=0,"PASS","REVIEW")</x:f>
        <x:v>PASS</x:v>
      </x:c>
      <x:c r="F10" s="15" t="str">
        <x:v>Continuous 2026-06-10 through 2026-10-13</x:v>
      </x:c>
    </x:row>
    <x:row r="11">
      <x:c r="A11" s="15" t="str">
        <x:v>Future sessions</x:v>
      </x:c>
      <x:c r="B11" s="15" t="n">
        <x:v>104</x:v>
      </x:c>
      <x:c r="C11" s="15" t="n">
        <x:v>104</x:v>
      </x:c>
      <x:c r="D11" s="15" t="n">
        <x:f>C11-B11</x:f>
        <x:v>0</x:v>
      </x:c>
      <x:c r="E11" s="15" t="str">
        <x:f>IF(D11=0,"PASS","REVIEW")</x:f>
        <x:v>PASS</x:v>
      </x:c>
      <x:c r="F11" s="15" t="str">
        <x:v>Dates after 2026-08-11</x:v>
      </x:c>
    </x:row>
    <x:row r="12">
      <x:c r="A12" s="15" t="str">
        <x:v>Future set logs</x:v>
      </x:c>
      <x:c r="B12" s="15" t="n">
        <x:v>713</x:v>
      </x:c>
      <x:c r="C12" s="15" t="n">
        <x:v>713</x:v>
      </x:c>
      <x:c r="D12" s="15" t="n">
        <x:f>C12-B12</x:f>
        <x:v>0</x:v>
      </x:c>
      <x:c r="E12" s="15" t="str">
        <x:f>IF(D12=0,"PASS","REVIEW")</x:f>
        <x:v>PASS</x:v>
      </x:c>
      <x:c r="F12" s="15" t="str">
        <x:v>UI simulation rows persisted</x:v>
      </x:c>
    </x:row>
    <x:row r="13">
      <x:c r="A13" s="15" t="str">
        <x:v>Duplicate session groups</x:v>
      </x:c>
      <x:c r="B13" s="15" t="n">
        <x:v>0</x:v>
      </x:c>
      <x:c r="C13" s="15" t="n">
        <x:v>0</x:v>
      </x:c>
      <x:c r="D13" s="15" t="n">
        <x:f>C13-B13</x:f>
        <x:v>0</x:v>
      </x:c>
      <x:c r="E13" s="15" t="str">
        <x:f>IF(D13=0,"PASS","REVIEW")</x:f>
        <x:v>PASS</x:v>
      </x:c>
      <x:c r="F13" s="15" t="str">
        <x:v>Grouped by date/plan/day/segment</x:v>
      </x:c>
    </x:row>
    <x:row r="14">
      <x:c r="A14" s="15" t="str">
        <x:v>Ownership errors</x:v>
      </x:c>
      <x:c r="B14" s="15" t="n">
        <x:v>0</x:v>
      </x:c>
      <x:c r="C14" s="15" t="n">
        <x:v>0</x:v>
      </x:c>
      <x:c r="D14" s="15" t="n">
        <x:f>C14-B14</x:f>
        <x:v>0</x:v>
      </x:c>
      <x:c r="E14" s="15" t="str">
        <x:f>IF(D14=0,"PASS","REVIEW")</x:f>
        <x:v>PASS</x:v>
      </x:c>
      <x:c r="F14" s="15" t="str">
        <x:v>No session on these plans belongs to another athlete</x:v>
      </x:c>
    </x:row>
    <x:row r="17" ht="28" customHeight="1">
      <x:c r="A17" s="12" t="str">
        <x:v>Plan</x:v>
      </x:c>
      <x:c r="B17" s="12" t="str">
        <x:v>Template start</x:v>
      </x:c>
      <x:c r="C17" s="12" t="str">
        <x:v>Template end</x:v>
      </x:c>
      <x:c r="D17" s="12" t="str">
        <x:v>Assignment start</x:v>
      </x:c>
      <x:c r="E17" s="12" t="str">
        <x:v>Assignment end</x:v>
      </x:c>
      <x:c r="F17" s="12" t="str">
        <x:v>Sessions</x:v>
      </x:c>
      <x:c r="G17" s="12" t="str">
        <x:v>Set logs</x:v>
      </x:c>
      <x:c r="H17" s="12" t="str">
        <x:v>Cadence</x:v>
      </x:c>
    </x:row>
    <x:row r="18">
      <x:c r="A18" s="15" t="str">
        <x:v>Pants 4-Month Weekly Full Body</x:v>
      </x:c>
      <x:c r="B18" s="51"/>
      <x:c r="C18" s="51"/>
      <x:c r="D18" s="51" t="n">
        <x:v>46183</x:v>
      </x:c>
      <x:c r="E18" s="51" t="n">
        <x:v>46308</x:v>
      </x:c>
      <x:c r="F18" s="15" t="n">
        <x:v>126</x:v>
      </x:c>
      <x:c r="G18" s="15" t="n">
        <x:v>1044</x:v>
      </x:c>
      <x:c r="H18" s="15" t="str">
        <x:v>Weekly · 18 weeks / 126 days</x:v>
      </x:c>
    </x:row>
    <x:row r="19">
      <x:c r="A19" s="15" t="str">
        <x:v>Pants 4-Month Optional Run &amp; Core</x:v>
      </x:c>
      <x:c r="B19" s="51"/>
      <x:c r="C19" s="51"/>
      <x:c r="D19" s="51" t="n">
        <x:v>46183</x:v>
      </x:c>
      <x:c r="E19" s="51" t="n">
        <x:v>46304</x:v>
      </x:c>
      <x:c r="F19" s="15" t="n">
        <x:v>86</x:v>
      </x:c>
      <x:c r="G19" s="15" t="n">
        <x:v>396</x:v>
      </x:c>
      <x:c r="H19" s="15" t="str">
        <x:v>3+0r / 3+1r / 1+2r · 122 days</x:v>
      </x:c>
    </x:row>
    <x:row r="22" ht="28" customHeight="1">
      <x:c r="A22" s="12" t="str">
        <x:v>Flow phase</x:v>
      </x:c>
      <x:c r="B22" s="12" t="str">
        <x:v>Actor</x:v>
      </x:c>
      <x:c r="C22" s="12" t="str">
        <x:v>UI surface</x:v>
      </x:c>
      <x:c r="D22" s="12" t="str">
        <x:v>Writes</x:v>
      </x:c>
      <x:c r="E22" s="12" t="str">
        <x:v>Readback</x:v>
      </x:c>
      <x:c r="F22" s="12" t="str">
        <x:v>Result</x:v>
      </x:c>
    </x:row>
    <x:row r="23">
      <x:c r="A23" s="15" t="str">
        <x:v>Account creation</x:v>
      </x:c>
      <x:c r="B23" s="15" t="str">
        <x:v>Athlete + coach</x:v>
      </x:c>
      <x:c r="C23" s="15" t="str">
        <x:v>Create account</x:v>
      </x:c>
      <x:c r="D23" s="15" t="str">
        <x:v>auth.users + profiles</x:v>
      </x:c>
      <x:c r="E23" s="15" t="str">
        <x:v>Verified Settings</x:v>
      </x:c>
      <x:c r="F23" s="15" t="str">
        <x:v>PASS after config repair</x:v>
      </x:c>
    </x:row>
    <x:row r="24">
      <x:c r="A24" s="15" t="str">
        <x:v>Coach connection</x:v>
      </x:c>
      <x:c r="B24" s="15" t="str">
        <x:v>Coach → athlete</x:v>
      </x:c>
      <x:c r="C24" s="15" t="str">
        <x:v>Invite + Settings link</x:v>
      </x:c>
      <x:c r="D24" s="15" t="str">
        <x:v>coach_athletes</x:v>
      </x:c>
      <x:c r="E24" s="15" t="str">
        <x:v>Coach/Athlete rosters</x:v>
      </x:c>
      <x:c r="F24" s="15" t="str">
        <x:v>PASS after approval repair</x:v>
      </x:c>
    </x:row>
    <x:row r="25">
      <x:c r="A25" s="15" t="str">
        <x:v>Plan authoring</x:v>
      </x:c>
      <x:c r="B25" s="15" t="str">
        <x:v>Coach</x:v>
      </x:c>
      <x:c r="C25" s="15" t="str">
        <x:v>Plan editor</x:v>
      </x:c>
      <x:c r="D25" s="15" t="str">
        <x:v>plans/days/segments/exercises</x:v>
      </x:c>
      <x:c r="E25" s="15" t="str">
        <x:v>Plans list + athlete Plans</x:v>
      </x:c>
      <x:c r="F25" s="15" t="str">
        <x:v>PASS</x:v>
      </x:c>
    </x:row>
    <x:row r="26">
      <x:c r="A26" s="15" t="str">
        <x:v>Assignment</x:v>
      </x:c>
      <x:c r="B26" s="15" t="str">
        <x:v>Coach</x:v>
      </x:c>
      <x:c r="C26" s="15" t="str">
        <x:v>Assign sheet</x:v>
      </x:c>
      <x:c r="D26" s="15" t="str">
        <x:v>plan_assignments</x:v>
      </x:c>
      <x:c r="E26" s="15" t="str">
        <x:v>Both portals + DB</x:v>
      </x:c>
      <x:c r="F26" s="15" t="str">
        <x:v>PASS</x:v>
      </x:c>
    </x:row>
    <x:row r="27">
      <x:c r="A27" s="15" t="str">
        <x:v>Historical logging</x:v>
      </x:c>
      <x:c r="B27" s="15" t="str">
        <x:v>Athlete + coach</x:v>
      </x:c>
      <x:c r="C27" s="15" t="str">
        <x:v>Batch editor</x:v>
      </x:c>
      <x:c r="D27" s="15" t="str">
        <x:v>sessions + set_logs</x:v>
      </x:c>
      <x:c r="E27" s="15" t="str">
        <x:v>Coach analytics</x:v>
      </x:c>
      <x:c r="F27" s="15" t="str">
        <x:v>PASS</x:v>
      </x:c>
    </x:row>
    <x:row r="28">
      <x:c r="A28" s="15" t="str">
        <x:v>Forward simulation</x:v>
      </x:c>
      <x:c r="B28" s="15" t="str">
        <x:v>Coach</x:v>
      </x:c>
      <x:c r="C28" s="15" t="str">
        <x:v>Batch editor</x:v>
      </x:c>
      <x:c r="D28" s="15" t="str">
        <x:v>future sessions + set_logs</x:v>
      </x:c>
      <x:c r="E28" s="15" t="str">
        <x:v>Dashboard + DB</x:v>
      </x:c>
      <x:c r="F28" s="15" t="str">
        <x:v>PASS with validation defect</x:v>
      </x:c>
    </x:row>
  </x:sheetData>
  <x:mergeCells>
    <x:mergeCell ref="A1:F1"/>
    <x:mergeCell ref="A2:F2"/>
  </x:mergeCells>
  <x:conditionalFormatting sqref="E4:E14">
    <x:cfRule type="containsText" dxfId="3" priority="1" operator="containsText" text="PAS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36" hidden="0" customWidth="1"/>
    <x:col min="5" max="5" width="55" hidden="0" customWidth="1"/>
    <x:col min="6" max="6" width="49" hidden="0" customWidth="1"/>
    <x:col min="7" max="7" width="28" hidden="0" customWidth="1"/>
    <x:col min="8" max="8" width="15" hidden="0" customWidth="1"/>
  </x:cols>
  <x:sheetData>
    <x:row r="1" ht="34" customHeight="1">
      <x:c r="A1" s="3" t="str">
        <x:v>Defects &amp; Product Gaps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Observed during live end-to-end execution. Workarounds were used only to keep the requested test moving.</x:v>
      </x:c>
      <x:c r="B2" s="7"/>
      <x:c r="C2" s="7"/>
      <x:c r="D2" s="7"/>
      <x:c r="E2" s="7"/>
      <x:c r="F2" s="7"/>
      <x:c r="G2" s="7"/>
      <x:c r="H2" s="7"/>
    </x:row>
    <x:row r="3" ht="28" customHeight="1">
      <x:c r="A3" s="12" t="str">
        <x:v>ID</x:v>
      </x:c>
      <x:c r="B3" s="12" t="str">
        <x:v>Severity</x:v>
      </x:c>
      <x:c r="C3" s="12" t="str">
        <x:v>Area</x:v>
      </x:c>
      <x:c r="D3" s="12" t="str">
        <x:v>Title</x:v>
      </x:c>
      <x:c r="E3" s="12" t="str">
        <x:v>Observed behavior</x:v>
      </x:c>
      <x:c r="F3" s="12" t="str">
        <x:v>Workaround / continuation</x:v>
      </x:c>
      <x:c r="G3" s="12" t="str">
        <x:v>Likely cause</x:v>
      </x:c>
      <x:c r="H3" s="12" t="str">
        <x:v>Status</x:v>
      </x:c>
    </x:row>
    <x:row r="4">
      <x:c r="A4" s="15" t="str">
        <x:v>D-001</x:v>
      </x:c>
      <x:c r="B4" s="15" t="str">
        <x:v>Blocker</x:v>
      </x:c>
      <x:c r="C4" s="15" t="str">
        <x:v>Auth config</x:v>
      </x:c>
      <x:c r="D4" s="15" t="str">
        <x:v>Live signups disabled</x:v>
      </x:c>
      <x:c r="E4" s="15" t="str">
        <x:v>Create account returned ‘Signups not allowed for this instance.’</x:v>
      </x:c>
      <x:c r="F4" s="15" t="str">
        <x:v>Temporarily enabled signup, created both via UI, restored disabled</x:v>
      </x:c>
      <x:c r="G4" s="15" t="str">
        <x:v>Config mismatch</x:v>
      </x:c>
      <x:c r="H4" s="15" t="str">
        <x:v>Open</x:v>
      </x:c>
    </x:row>
    <x:row r="5">
      <x:c r="A5" s="15" t="str">
        <x:v>D-002</x:v>
      </x:c>
      <x:c r="B5" s="15" t="str">
        <x:v>High</x:v>
      </x:c>
      <x:c r="C5" s="15" t="str">
        <x:v>Profile approval</x:v>
      </x:c>
      <x:c r="D5" s="15" t="str">
        <x:v>Fresh coach not auto-approved</x:v>
      </x:c>
      <x:c r="E5" s="15" t="str">
        <x:v>Invite creation rejected Sir Pants as not approved</x:v>
      </x:c>
      <x:c r="F5" s="15" t="str">
        <x:v>Applied internal approval flag to only this test coach</x:v>
      </x:c>
      <x:c r="G5" s="15" t="str">
        <x:v>Approval trigger/regression</x:v>
      </x:c>
      <x:c r="H5" s="15" t="str">
        <x:v>Open</x:v>
      </x:c>
    </x:row>
    <x:row r="6">
      <x:c r="A6" s="15" t="str">
        <x:v>D-003</x:v>
      </x:c>
      <x:c r="B6" s="15" t="str">
        <x:v>High</x:v>
      </x:c>
      <x:c r="C6" s="15" t="str">
        <x:v>Profile approval</x:v>
      </x:c>
      <x:c r="D6" s="15" t="str">
        <x:v>Fresh athlete not auto-approved</x:v>
      </x:c>
      <x:c r="E6" s="15" t="str">
        <x:v>Active invite produced misleading ‘code isn’t valid any more’</x:v>
      </x:c>
      <x:c r="F6" s="15" t="str">
        <x:v>Applied internal approval flag to only this athlete</x:v>
      </x:c>
      <x:c r="G6" s="15" t="str">
        <x:v>Approval + error mapping</x:v>
      </x:c>
      <x:c r="H6" s="15" t="str">
        <x:v>Open</x:v>
      </x:c>
    </x:row>
    <x:row r="7">
      <x:c r="A7" s="15" t="str">
        <x:v>D-004</x:v>
      </x:c>
      <x:c r="B7" s="15" t="str">
        <x:v>Medium</x:v>
      </x:c>
      <x:c r="C7" s="15" t="str">
        <x:v>Plan duration</x:v>
      </x:c>
      <x:c r="D7" s="15" t="str">
        <x:v>No exact calendar-month duration for weekly plans</x:v>
      </x:c>
      <x:c r="E7" s="15" t="str">
        <x:v>Four calendar months requires ~122 days; weekly editor accepts only whole weeks</x:v>
      </x:c>
      <x:c r="F7" s="15" t="str">
        <x:v>Used 18 weeks / 126 days</x:v>
      </x:c>
      <x:c r="G7" s="15" t="str">
        <x:v>Product gap</x:v>
      </x:c>
      <x:c r="H7" s="15" t="str">
        <x:v>Open</x:v>
      </x:c>
    </x:row>
    <x:row r="8">
      <x:c r="A8" s="15" t="str">
        <x:v>D-005</x:v>
      </x:c>
      <x:c r="B8" s="15" t="str">
        <x:v>Medium</x:v>
      </x:c>
      <x:c r="C8" s="15" t="str">
        <x:v>Assignment UX</x:v>
      </x:c>
      <x:c r="D8" s="15" t="str">
        <x:v>Assignment card shows sync date, not plan start</x:v>
      </x:c>
      <x:c r="E8" s="15" t="str">
        <x:v>Coach athlete card displayed ‘Synced Aug 11’ although start was Jun 10</x:v>
      </x:c>
      <x:c r="F8" s="15" t="str">
        <x:v>Verified actual dates in assignment sheet and DB</x:v>
      </x:c>
      <x:c r="G8" s="15" t="str">
        <x:v>Copy / information hierarchy</x:v>
      </x:c>
      <x:c r="H8" s="15" t="str">
        <x:v>Open</x:v>
      </x:c>
    </x:row>
    <x:row r="9">
      <x:c r="A9" s="15" t="str">
        <x:v>D-006</x:v>
      </x:c>
      <x:c r="B9" s="15" t="str">
        <x:v>High</x:v>
      </x:c>
      <x:c r="C9" s="15" t="str">
        <x:v>Date validation</x:v>
      </x:c>
      <x:c r="D9" s="15" t="str">
        <x:v>Future dates can bypass advertised max</x:v>
      </x:c>
      <x:c r="E9" s="15" t="str">
        <x:v>Through input advertises max=today but keyboard entry saved future sessions</x:v>
      </x:c>
      <x:c r="F9" s="15" t="str">
        <x:v>Used this behavior for requested simulation</x:v>
      </x:c>
      <x:c r="G9" s="15" t="str">
        <x:v>Client validation / integrity</x:v>
      </x:c>
      <x:c r="H9" s="15" t="str">
        <x:v>Open</x:v>
      </x:c>
    </x:row>
    <x:row r="10">
      <x:c r="A10" s="15" t="str">
        <x:v>D-007</x:v>
      </x:c>
      <x:c r="B10" s="15" t="str">
        <x:v>High</x:v>
      </x:c>
      <x:c r="C10" s="15" t="str">
        <x:v>Performance</x:v>
      </x:c>
      <x:c r="D10" s="15" t="str">
        <x:v>Large batch save is slow with weak feedback</x:v>
      </x:c>
      <x:c r="E10" s="15" t="str">
        <x:v>531-set save took 57.4s; only disabled ‘Saving…’ state</x:v>
      </x:c>
      <x:c r="F10" s="15" t="str">
        <x:v>Waited for completion; no duplicate writes</x:v>
      </x:c>
      <x:c r="G10" s="15" t="str">
        <x:v>Batch write strategy</x:v>
      </x:c>
      <x:c r="H10" s="15" t="str">
        <x:v>Open</x:v>
      </x:c>
    </x:row>
    <x:row r="11">
      <x:c r="A11" s="15" t="str">
        <x:v>D-008</x:v>
      </x:c>
      <x:c r="B11" s="15" t="str">
        <x:v>High</x:v>
      </x:c>
      <x:c r="C11" s="15" t="str">
        <x:v>Analytics</x:v>
      </x:c>
      <x:c r="D11" s="15" t="str">
        <x:v>Future logs distort present-tense dashboard</x:v>
      </x:c>
      <x:c r="E11" s="15" t="str">
        <x:v>On Aug 11 dashboard reported ‘Last session Oct 13’ and future records/totals</x:v>
      </x:c>
      <x:c r="F11" s="15" t="str">
        <x:v>Interpret simulation separately</x:v>
      </x:c>
      <x:c r="G11" s="15" t="str">
        <x:v>Future-data handling</x:v>
      </x:c>
      <x:c r="H11" s="15" t="str">
        <x:v>Open</x:v>
      </x:c>
    </x:row>
    <x:row r="12">
      <x:c r="A12" s="15" t="str">
        <x:v>D-009</x:v>
      </x:c>
      <x:c r="B12" s="15" t="str">
        <x:v>Medium</x:v>
      </x:c>
      <x:c r="C12" s="15" t="str">
        <x:v>Adherence</x:v>
      </x:c>
      <x:c r="D12" s="15" t="str">
        <x:v>Companion-plan activity appears off-plan in summary</x:v>
      </x:c>
      <x:c r="E12" s="15" t="str">
        <x:v>Weekly adherence showed ‘5 off-plan’ while split plan was also assigned</x:v>
      </x:c>
      <x:c r="F12" s="15" t="str">
        <x:v>Needs product decision on multi-plan aggregation</x:v>
      </x:c>
      <x:c r="G12" s="15" t="str">
        <x:v>Analytics semantics</x:v>
      </x:c>
      <x:c r="H12" s="15" t="str">
        <x:v>Investigate</x:v>
      </x:c>
    </x:row>
  </x:sheetData>
  <x:mergeCells>
    <x:mergeCell ref="A1:H1"/>
    <x:mergeCell ref="A2:H2"/>
  </x:mergeCells>
  <x:conditionalFormatting sqref="B4:B12">
    <x:cfRule type="containsText" dxfId="4" priority="1" operator="containsText" text="Blocker"/>
    <x:cfRule type="containsText" dxfId="5" priority="2" operator="containsText" text="High"/>
    <x:cfRule type="containsText" dxfId="6" priority="3" operator="containsText" text="Medium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25" hidden="0" customWidth="1"/>
    <x:col min="5" max="5" width="13" hidden="0" customWidth="1"/>
    <x:col min="6" max="6" width="45" hidden="0" customWidth="1"/>
    <x:col min="7" max="7" width="3" hidden="0" customWidth="1"/>
    <x:col min="8" max="8" width="34" hidden="0" customWidth="1"/>
    <x:col min="9" max="9" width="14" hidden="0" customWidth="1"/>
  </x:cols>
  <x:sheetData>
    <x:row r="1" ht="34" customHeight="1">
      <x:c r="A1" s="3" t="str">
        <x:v>Performance Observations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Wall-clock timings from live UI execution. Network, database, rendering, and application processing are included.</x:v>
      </x:c>
      <x:c r="B2" s="7"/>
      <x:c r="C2" s="7"/>
      <x:c r="D2" s="7"/>
      <x:c r="E2" s="7"/>
      <x:c r="F2" s="7"/>
      <x:c r="G2" s="7"/>
      <x:c r="H2" s="7"/>
    </x:row>
    <x:row r="3" ht="28" customHeight="1">
      <x:c r="A3" s="12" t="str">
        <x:v>Action</x:v>
      </x:c>
      <x:c r="B3" s="12" t="str">
        <x:v>Milliseconds</x:v>
      </x:c>
      <x:c r="C3" s="12" t="str">
        <x:v>Seconds</x:v>
      </x:c>
      <x:c r="D3" s="12" t="str">
        <x:v>Workload</x:v>
      </x:c>
      <x:c r="E3" s="12" t="str">
        <x:v>Rating</x:v>
      </x:c>
      <x:c r="F3" s="12" t="str">
        <x:v>Observation</x:v>
      </x:c>
      <x:c r="H3" t="str">
        <x:v>Action</x:v>
      </x:c>
      <x:c r="I3" t="str">
        <x:v>Seconds</x:v>
      </x:c>
    </x:row>
    <x:row r="4">
      <x:c r="A4" s="15" t="str">
        <x:v>Weekly plan save</x:v>
      </x:c>
      <x:c r="B4" s="15" t="n">
        <x:v>7000</x:v>
      </x:c>
      <x:c r="C4" s="55" t="n">
        <x:f>B4/1000</x:f>
        <x:v>7</x:v>
      </x:c>
      <x:c r="D4" s="15" t="str">
        <x:v>19 exercises</x:v>
      </x:c>
      <x:c r="E4" s="15" t="str">
        <x:v>Watch</x:v>
      </x:c>
      <x:c r="F4" s="15" t="str">
        <x:v>Returned to Plans after saving state</x:v>
      </x:c>
      <x:c r="H4" t="str">
        <x:f>A4</x:f>
        <x:v>Weekly plan save</x:v>
      </x:c>
      <x:c r="I4" t="n">
        <x:f>C4</x:f>
        <x:v>7</x:v>
      </x:c>
    </x:row>
    <x:row r="5">
      <x:c r="A5" s="15" t="str">
        <x:v>Split plan save</x:v>
      </x:c>
      <x:c r="B5" s="15" t="n">
        <x:v>7000</x:v>
      </x:c>
      <x:c r="C5" s="55" t="n">
        <x:f>B5/1000</x:f>
        <x:v>7</x:v>
      </x:c>
      <x:c r="D5" s="15" t="str">
        <x:v>11 exercises / 3 splits</x:v>
      </x:c>
      <x:c r="E5" s="15" t="str">
        <x:v>Watch</x:v>
      </x:c>
      <x:c r="F5" s="15" t="str">
        <x:v>Returned to Plans after saving state</x:v>
      </x:c>
      <x:c r="H5" t="str">
        <x:f>A5</x:f>
        <x:v>Split plan save</x:v>
      </x:c>
      <x:c r="I5" t="n">
        <x:f>C5</x:f>
        <x:v>7</x:v>
      </x:c>
    </x:row>
    <x:row r="6">
      <x:c r="A6" s="15" t="str">
        <x:v>Athlete weekly batch save</x:v>
      </x:c>
      <x:c r="B6" s="15" t="n">
        <x:v>30000</x:v>
      </x:c>
      <x:c r="C6" s="55" t="n">
        <x:f>B6/1000</x:f>
        <x:v>30</x:v>
      </x:c>
      <x:c r="D6" s="15" t="str">
        <x:v>259 set rows</x:v>
      </x:c>
      <x:c r="E6" s="15" t="str">
        <x:v>Slow</x:v>
      </x:c>
      <x:c r="F6" s="15" t="str">
        <x:v>About 30s; no progress count</x:v>
      </x:c>
      <x:c r="H6" t="str">
        <x:f>A6</x:f>
        <x:v>Athlete weekly batch save</x:v>
      </x:c>
      <x:c r="I6" t="n">
        <x:f>C6</x:f>
        <x:v>30</x:v>
      </x:c>
    </x:row>
    <x:row r="7">
      <x:c r="A7" s="15" t="str">
        <x:v>Athlete split batch save</x:v>
      </x:c>
      <x:c r="B7" s="15" t="n">
        <x:v>22000</x:v>
      </x:c>
      <x:c r="C7" s="55" t="n">
        <x:f>B7/1000</x:f>
        <x:v>22</x:v>
      </x:c>
      <x:c r="D7" s="15" t="str">
        <x:v>102 set rows</x:v>
      </x:c>
      <x:c r="E7" s="15" t="str">
        <x:v>Slow</x:v>
      </x:c>
      <x:c r="F7" s="15" t="str">
        <x:v>About 22s</x:v>
      </x:c>
      <x:c r="H7" t="str">
        <x:f>A7</x:f>
        <x:v>Athlete split batch save</x:v>
      </x:c>
      <x:c r="I7" t="n">
        <x:f>C7</x:f>
        <x:v>22</x:v>
      </x:c>
    </x:row>
    <x:row r="8">
      <x:c r="A8" s="15" t="str">
        <x:v>Coach weekly batch save</x:v>
      </x:c>
      <x:c r="B8" s="15" t="n">
        <x:v>30000</x:v>
      </x:c>
      <x:c r="C8" s="55" t="n">
        <x:f>B8/1000</x:f>
        <x:v>30</x:v>
      </x:c>
      <x:c r="D8" s="15" t="str">
        <x:v>254 set rows</x:v>
      </x:c>
      <x:c r="E8" s="15" t="str">
        <x:v>Slow</x:v>
      </x:c>
      <x:c r="F8" s="15" t="str">
        <x:v>About 30s</x:v>
      </x:c>
      <x:c r="H8" t="str">
        <x:f>A8</x:f>
        <x:v>Coach weekly batch save</x:v>
      </x:c>
      <x:c r="I8" t="n">
        <x:f>C8</x:f>
        <x:v>30</x:v>
      </x:c>
    </x:row>
    <x:row r="9">
      <x:c r="A9" s="15" t="str">
        <x:v>Coach split batch save</x:v>
      </x:c>
      <x:c r="B9" s="15" t="n">
        <x:v>23000</x:v>
      </x:c>
      <x:c r="C9" s="55" t="n">
        <x:f>B9/1000</x:f>
        <x:v>23</x:v>
      </x:c>
      <x:c r="D9" s="15" t="str">
        <x:v>102 set rows</x:v>
      </x:c>
      <x:c r="E9" s="15" t="str">
        <x:v>Slow</x:v>
      </x:c>
      <x:c r="F9" s="15" t="str">
        <x:v>About 23s</x:v>
      </x:c>
      <x:c r="H9" t="str">
        <x:f>A9</x:f>
        <x:v>Coach split batch save</x:v>
      </x:c>
      <x:c r="I9" t="n">
        <x:f>C9</x:f>
        <x:v>23</x:v>
      </x:c>
    </x:row>
    <x:row r="10">
      <x:c r="A10" s="15" t="str">
        <x:v>Future weekly grid entry</x:v>
      </x:c>
      <x:c r="B10" s="15" t="n">
        <x:v>138366</x:v>
      </x:c>
      <x:c r="C10" s="55" t="n">
        <x:f>B10/1000</x:f>
        <x:v>138.366</x:v>
      </x:c>
      <x:c r="D10" s="15" t="str">
        <x:v>531 set rows</x:v>
      </x:c>
      <x:c r="E10" s="15" t="str">
        <x:v>Slow</x:v>
      </x:c>
      <x:c r="F10" s="15" t="str">
        <x:v>Three chunks; ~3.8 rows/s</x:v>
      </x:c>
      <x:c r="H10" t="str">
        <x:f>A10</x:f>
        <x:v>Future weekly grid entry</x:v>
      </x:c>
      <x:c r="I10" t="n">
        <x:f>C10</x:f>
        <x:v>138.366</x:v>
      </x:c>
    </x:row>
    <x:row r="11">
      <x:c r="A11" s="15" t="str">
        <x:v>Future weekly batch save</x:v>
      </x:c>
      <x:c r="B11" s="15" t="n">
        <x:v>57358</x:v>
      </x:c>
      <x:c r="C11" s="55" t="n">
        <x:f>B11/1000</x:f>
        <x:v>57.358</x:v>
      </x:c>
      <x:c r="D11" s="15" t="str">
        <x:v>531 set rows</x:v>
      </x:c>
      <x:c r="E11" s="15" t="str">
        <x:v>Slow</x:v>
      </x:c>
      <x:c r="F11" s="15" t="str">
        <x:v>Longest persistence step</x:v>
      </x:c>
      <x:c r="H11" t="str">
        <x:f>A11</x:f>
        <x:v>Future weekly batch save</x:v>
      </x:c>
      <x:c r="I11" t="n">
        <x:f>C11</x:f>
        <x:v>57.358</x:v>
      </x:c>
    </x:row>
    <x:row r="12">
      <x:c r="A12" s="15" t="str">
        <x:v>Future split grid entry</x:v>
      </x:c>
      <x:c r="B12" s="15" t="n">
        <x:v>19973</x:v>
      </x:c>
      <x:c r="C12" s="55" t="n">
        <x:f>B12/1000</x:f>
        <x:v>19.973</x:v>
      </x:c>
      <x:c r="D12" s="15" t="str">
        <x:v>192 set rows</x:v>
      </x:c>
      <x:c r="E12" s="15" t="str">
        <x:v>Slow</x:v>
      </x:c>
      <x:c r="F12" s="15" t="str">
        <x:v>~9.6 rows/s</x:v>
      </x:c>
      <x:c r="H12" t="str">
        <x:f>A12</x:f>
        <x:v>Future split grid entry</x:v>
      </x:c>
      <x:c r="I12" t="n">
        <x:f>C12</x:f>
        <x:v>19.973</x:v>
      </x:c>
    </x:row>
    <x:row r="13">
      <x:c r="A13" s="15" t="str">
        <x:v>Future split batch save</x:v>
      </x:c>
      <x:c r="B13" s="15" t="n">
        <x:v>28279</x:v>
      </x:c>
      <x:c r="C13" s="55" t="n">
        <x:f>B13/1000</x:f>
        <x:v>28.279</x:v>
      </x:c>
      <x:c r="D13" s="15" t="str">
        <x:v>192 set rows</x:v>
      </x:c>
      <x:c r="E13" s="15" t="str">
        <x:v>Slow</x:v>
      </x:c>
      <x:c r="F13" s="15" t="str">
        <x:v>Completed without duplicates</x:v>
      </x:c>
      <x:c r="H13" t="str">
        <x:f>A13</x:f>
        <x:v>Future split batch save</x:v>
      </x:c>
      <x:c r="I13" t="n">
        <x:f>C13</x:f>
        <x:v>28.279</x:v>
      </x:c>
    </x:row>
    <x:row r="14">
      <x:c r="A14" s="15" t="str">
        <x:v>Final DB audit query</x:v>
      </x:c>
      <x:c r="B14" s="15" t="n">
        <x:v>4100</x:v>
      </x:c>
      <x:c r="C14" s="55" t="n">
        <x:f>B14/1000</x:f>
        <x:v>4.1</x:v>
      </x:c>
      <x:c r="D14" s="15" t="str">
        <x:v>212 sessions / 1,440 logs</x:v>
      </x:c>
      <x:c r="E14" s="15" t="str">
        <x:v>Watch</x:v>
      </x:c>
      <x:c r="F14" s="15" t="str">
        <x:v>Management API read-only reconciliation</x:v>
      </x:c>
      <x:c r="H14" t="str">
        <x:f>A14</x:f>
        <x:v>Final DB audit query</x:v>
      </x:c>
      <x:c r="I14" t="n">
        <x:f>C14</x:f>
        <x:v>4.1</x:v>
      </x:c>
    </x:row>
  </x:sheetData>
  <x:mergeCells>
    <x:mergeCell ref="A1:H1"/>
    <x:mergeCell ref="A2:H2"/>
  </x:mergeCells>
  <x:conditionalFormatting sqref="E4:E14">
    <x:cfRule type="containsText" dxfId="7" priority="1" operator="containsText" text="Slow"/>
    <x:cfRule type="containsText" dxfId="8" priority="2" operator="containsText" text="Watch"/>
  </x:conditionalFormatting>
  <x:pageMargins left="0.7" right="0.7" top="0.75" bottom="0.75" header="0.3" footer="0.3"/>
  <x:drawing xmlns:r="http://schemas.openxmlformats.org/officeDocument/2006/relationships" r:id="R78cc5340f51f47b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34" hidden="0" customWidth="1"/>
    <x:col min="7" max="7" width="28" hidden="0" customWidth="1"/>
    <x:col min="8" max="8" width="14" hidden="0" customWidth="1"/>
    <x:col min="9" max="9" width="14" hidden="0" customWidth="1"/>
    <x:col min="10" max="10" width="56" hidden="0" customWidth="1"/>
  </x:cols>
  <x:sheetData>
    <x:row r="1" ht="34" customHeight="1">
      <x:c r="A1" s="3" t="str">
        <x:v>Plan Coverage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Configured schedules and persisted completion coverage. Split-plan session count excludes configured rest days.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8" customHeight="1">
      <x:c r="A3" s="12" t="str">
        <x:v>Plan</x:v>
      </x:c>
      <x:c r="B3" s="12" t="str">
        <x:v>Mode</x:v>
      </x:c>
      <x:c r="C3" s="12" t="str">
        <x:v>Duration days</x:v>
      </x:c>
      <x:c r="D3" s="12" t="str">
        <x:v>Start</x:v>
      </x:c>
      <x:c r="E3" s="12" t="str">
        <x:v>End</x:v>
      </x:c>
      <x:c r="F3" s="12" t="str">
        <x:v>Configured cadence</x:v>
      </x:c>
      <x:c r="G3" s="12" t="str">
        <x:v>Optional policy</x:v>
      </x:c>
      <x:c r="H3" s="12" t="str">
        <x:v>Sessions</x:v>
      </x:c>
      <x:c r="I3" s="12" t="str">
        <x:v>Set logs</x:v>
      </x:c>
      <x:c r="J3" s="12" t="str">
        <x:v>Notes</x:v>
      </x:c>
    </x:row>
    <x:row r="4">
      <x:c r="A4" s="15" t="str">
        <x:v>Pants 4-Month Weekly Full Body</x:v>
      </x:c>
      <x:c r="B4" s="15" t="str">
        <x:v>Weekly</x:v>
      </x:c>
      <x:c r="C4" s="15" t="n">
        <x:v>126</x:v>
      </x:c>
      <x:c r="D4" s="51" t="n">
        <x:v>46183</x:v>
      </x:c>
      <x:c r="E4" s="51" t="n">
        <x:v>46308</x:v>
      </x:c>
      <x:c r="F4" s="15" t="str">
        <x:v>Mon–Fri required; Sat/Sun optional</x:v>
      </x:c>
      <x:c r="G4" s="15" t="str">
        <x:v>2 optional days/week</x:v>
      </x:c>
      <x:c r="H4" s="15" t="n">
        <x:v>126</x:v>
      </x:c>
      <x:c r="I4" s="15" t="n">
        <x:v>1044</x:v>
      </x:c>
      <x:c r="J4" s="15" t="str">
        <x:v>All 126 calendar dates have a logged session because optional weekend rows were included in the simulation</x:v>
      </x:c>
    </x:row>
    <x:row r="5">
      <x:c r="A5" s="15" t="str">
        <x:v>Pants 4-Month Optional Run &amp; Core</x:v>
      </x:c>
      <x:c r="B5" s="15" t="str">
        <x:v>Custom split</x:v>
      </x:c>
      <x:c r="C5" s="15" t="n">
        <x:v>122</x:v>
      </x:c>
      <x:c r="D5" s="51" t="n">
        <x:v>46183</x:v>
      </x:c>
      <x:c r="E5" s="51" t="n">
        <x:v>46304</x:v>
      </x:c>
      <x:c r="F5" s="15" t="str">
        <x:v>3+0r / 3+1r / 1+2r</x:v>
      </x:c>
      <x:c r="G5" s="15" t="str">
        <x:v>Every active split day optional</x:v>
      </x:c>
      <x:c r="H5" s="15" t="n">
        <x:v>86</x:v>
      </x:c>
      <x:c r="I5" s="15" t="n">
        <x:v>396</x:v>
      </x:c>
      <x:c r="J5" s="15" t="str">
        <x:v>86 active sessions; remaining dates are configured interval-rest days</x:v>
      </x:c>
    </x:row>
    <x:row r="8" ht="28" customHeight="1">
      <x:c r="A8" s="12" t="str">
        <x:v>Phase</x:v>
      </x:c>
      <x:c r="B8" s="12" t="str">
        <x:v>Date range</x:v>
      </x:c>
      <x:c r="C8" s="12" t="str">
        <x:v>Actor / UI</x:v>
      </x:c>
      <x:c r="D8" s="12" t="str">
        <x:v>Weekly exercises</x:v>
      </x:c>
      <x:c r="E8" s="12" t="str">
        <x:v>Weekly sets</x:v>
      </x:c>
      <x:c r="F8" s="12" t="str">
        <x:v>Split exercises</x:v>
      </x:c>
      <x:c r="G8" s="12" t="str">
        <x:v>Split sets</x:v>
      </x:c>
    </x:row>
    <x:row r="9">
      <x:c r="A9" s="15" t="str">
        <x:v>Historical first half</x:v>
      </x:c>
      <x:c r="B9" s="15" t="str">
        <x:v>2026-06-10 → 2026-07-10</x:v>
      </x:c>
      <x:c r="C9" s="15" t="str">
        <x:v>Athlete batch editor</x:v>
      </x:c>
      <x:c r="D9" s="15" t="n">
        <x:v>85</x:v>
      </x:c>
      <x:c r="E9" s="15" t="n">
        <x:v>259</x:v>
      </x:c>
      <x:c r="F9" s="15" t="n">
        <x:v>35</x:v>
      </x:c>
      <x:c r="G9" s="15" t="n">
        <x:v>102</x:v>
      </x:c>
    </x:row>
    <x:row r="10">
      <x:c r="A10" s="15" t="str">
        <x:v>Historical second half</x:v>
      </x:c>
      <x:c r="B10" s="15" t="str">
        <x:v>2026-07-11 → 2026-08-10</x:v>
      </x:c>
      <x:c r="C10" s="15" t="str">
        <x:v>Coach batch editor</x:v>
      </x:c>
      <x:c r="D10" s="15" t="n">
        <x:v>83</x:v>
      </x:c>
      <x:c r="E10" s="15" t="n">
        <x:v>254</x:v>
      </x:c>
      <x:c r="F10" s="15" t="n">
        <x:v>35</x:v>
      </x:c>
      <x:c r="G10" s="15" t="n">
        <x:v>102</x:v>
      </x:c>
    </x:row>
    <x:row r="11">
      <x:c r="A11" s="15" t="str">
        <x:v>Forward completion</x:v>
      </x:c>
      <x:c r="B11" s="15" t="str">
        <x:v>2026-08-11 → plan end</x:v>
      </x:c>
      <x:c r="C11" s="15" t="str">
        <x:v>Coach batch editor</x:v>
      </x:c>
      <x:c r="D11" s="15" t="n">
        <x:v>174</x:v>
      </x:c>
      <x:c r="E11" s="15" t="n">
        <x:v>531</x:v>
      </x:c>
      <x:c r="F11" s="15" t="n">
        <x:v>66</x:v>
      </x:c>
      <x:c r="G11" s="15" t="n">
        <x:v>192</x:v>
      </x:c>
    </x:row>
    <x:row r="14" ht="28" customHeight="1">
      <x:c r="A14" s="12" t="str">
        <x:v>Account</x:v>
      </x:c>
      <x:c r="B14" s="12" t="str">
        <x:v>Display name</x:v>
      </x:c>
      <x:c r="C14" s="12" t="str">
        <x:v>Role</x:v>
      </x:c>
      <x:c r="D14" s="12" t="str">
        <x:v>Verification / approval</x:v>
      </x:c>
    </x:row>
    <x:row r="15">
      <x:c r="A15" s="15" t="str">
        <x:v>ants.pants.e2e.20260811@example.com</x:v>
      </x:c>
      <x:c r="B15" s="15" t="str">
        <x:v>Ants Pants</x:v>
      </x:c>
      <x:c r="C15" s="15" t="str">
        <x:v>Athlete</x:v>
      </x:c>
      <x:c r="D15" s="15" t="str">
        <x:v>Verified; approved after repair</x:v>
      </x:c>
    </x:row>
    <x:row r="16">
      <x:c r="A16" s="15" t="str">
        <x:v>sir.pants.e2e.20260811@example.com</x:v>
      </x:c>
      <x:c r="B16" s="15" t="str">
        <x:v>Sir Pants</x:v>
      </x:c>
      <x:c r="C16" s="15" t="str">
        <x:v>Coach</x:v>
      </x:c>
      <x:c r="D16" s="15" t="str">
        <x:v>Verified; approved after repair</x:v>
      </x:c>
    </x:row>
    <x:row r="19">
      <x:c r="A19" s="61" t="str">
        <x:v>Security note: passwords are intentionally not stored in this workbook. They are delivered separately in the test handoff.</x:v>
      </x:c>
      <x:c r="B19" s="62"/>
      <x:c r="C19" s="62"/>
      <x:c r="D19" s="62"/>
      <x:c r="E19" s="62"/>
      <x:c r="F19" s="62"/>
      <x:c r="G19" s="62"/>
      <x:c r="H19" s="62"/>
      <x:c r="I19" s="62"/>
      <x:c r="J19" s="63"/>
    </x:row>
  </x:sheetData>
  <x:mergeCells>
    <x:mergeCell ref="A1:J1"/>
    <x:mergeCell ref="A2:J2"/>
    <x:mergeCell ref="A19:J19"/>
  </x:mergeCells>
  <x:pageMargins left="0.7" right="0.7" top="0.75" bottom="0.75" header="0.3" footer="0.3"/>
</x:worksheet>
</file>